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FONCTIONS VBA PERSO\AL7_UDF\TRANSPOSE2D\DEMO TRANSPOSE2D\"/>
    </mc:Choice>
  </mc:AlternateContent>
  <xr:revisionPtr revIDLastSave="0" documentId="13_ncr:1_{B99B107D-9C6E-4307-9495-0569D0758151}" xr6:coauthVersionLast="47" xr6:coauthVersionMax="47" xr10:uidLastSave="{00000000-0000-0000-0000-000000000000}"/>
  <bookViews>
    <workbookView xWindow="28680" yWindow="-120" windowWidth="29040" windowHeight="15840" xr2:uid="{8E114A2D-75DC-4DBD-8061-8B4B9F9826A7}"/>
  </bookViews>
  <sheets>
    <sheet name="DEMO" sheetId="2" r:id="rId1"/>
    <sheet name="RANGE XLAM" sheetId="1" r:id="rId2"/>
    <sheet name="Datas_sheet" sheetId="3" r:id="rId3"/>
  </sheets>
  <externalReferences>
    <externalReference r:id="rId4"/>
    <externalReference r:id="rId5"/>
  </externalReferences>
  <calcPr calcId="191029" calcMode="manual"/>
  <extLst>
    <ext xmlns:x14="http://schemas.microsoft.com/office/spreadsheetml/2009/9/main" uri="{8193D73E-4604-4355-AFF4-8A2333D13BE4}">
      <x14:definedNames>
        <x14:definedName name="TRANS2D">
          <x14:argumentDescriptions count="10">
            <x14:argumentDescription index="0">ToTranspose: It can be either a 1 or 2D array, a one area range or a string to transpose.</x14:argumentDescription>
            <x14:argumentDescription index="1">[LikeExcel] Optional. By default = False. ONLY USED if LikeExcel = False. See above and documentation</x14:argumentDescription>
            <x14:argumentDescription index="2">[StartDim1] Optional. By default = the beginning. Extract part of the array FROM the given number in Dim. 1</x14:argumentDescription>
            <x14:argumentDescription index="3">[EndDim1] Optional. By default = the end. Extract TO the given number in Dim. 1</x14:argumentDescription>
            <x14:argumentDescription index="4">[StartDim2] Optional. By default = the beginning. Extract part of the array FROM the given number in Dim. 2</x14:argumentDescription>
            <x14:argumentDescription index="5">[EndDim2] Optional. By default = the end. Extract TO the given number in Dim. 2</x14:argumentDescription>
            <x14:argumentDescription index="6">[KeepNumDim1] Optional. Default = FALSE. if Yes AND a part of the array is asked, the numbering is retained</x14:argumentDescription>
            <x14:argumentDescription index="7" xml:space="preserve"> [KeepNumDim2] Optional. Default = FALSE. if Yes AND a part of the array is asked, the numbering is retained</x14:argumentDescription>
            <x14:argumentDescription index="8">[BaseOut1] Optional. The 1rst dimension lower bound you wish to get in the transposed result</x14:argumentDescription>
            <x14:argumentDescription index="9">[BaseOut2] Optional. The 2nd dimension lower bound you wish to get in the transposed result.</x14:argumentDescription>
          </x14:argumentDescriptions>
        </x14:definedName>
        <x14:definedName name="TRANSPOSE2D">
          <x14:argumentDescriptions count="10">
            <x14:argumentDescription index="0">ToTranspose: It can be either a 1 or 2D array, a one area range or a string to transpose.</x14:argumentDescription>
            <x14:argumentDescription index="1">[LikeExcel] Optional. By default = False. ONLY USED if LikeExcel = False. See above and documentation</x14:argumentDescription>
            <x14:argumentDescription index="2">[StartDim1] Optional. By default = the beginning. Extract part of the array FROM the given number in Dim. 1</x14:argumentDescription>
            <x14:argumentDescription index="3">[EndDim1] Optional. By default = the end. Extract TO the given number in Dim. 1</x14:argumentDescription>
            <x14:argumentDescription index="4">[StartDim2] Optional. By default = the beginning. Extract part of the array FROM the given number in Dim. 2</x14:argumentDescription>
            <x14:argumentDescription index="5">[EndDim2] Optional. By default = the end. Extract TO the given number in Dim. 2</x14:argumentDescription>
            <x14:argumentDescription index="6">[KeepNumDim1] Optional. Default = FALSE. if Yes AND a part of the array is asked, the numbering is retained</x14:argumentDescription>
            <x14:argumentDescription index="7" xml:space="preserve"> [KeepNumDim2] Optional. Default = FALSE. if Yes AND a part of the array is asked, the numbering is retained</x14:argumentDescription>
            <x14:argumentDescription index="8">[BaseOut1] Optional. The 1rst dimension lower bound you wish to get in the transposed result</x14:argumentDescription>
            <x14:argumentDescription index="9">[BaseOut2] Optional. The 2nd dimension lower bound you wish to get in the transposed result.</x14:argumentDescription>
          </x14:argumentDescriptions>
        </x14:definedName>
        <x14:definedName name="TRANSRANGE">
          <x14:argumentDescriptions count="5">
            <x14:argumentDescription index="0">ToTranspose: A ONLY ONE AREA RANGE to transpose.</x14:argumentDescription>
            <x14:argumentDescription index="1">[StartDim1] Optional. By default = the beginning. Extract part of the range FROM the given ROW number</x14:argumentDescription>
            <x14:argumentDescription index="2">[EndDim1] Optional. By default = the end. Extract TO the given ROW number</x14:argumentDescription>
            <x14:argumentDescription index="3">[StartDim2] Optional. By default = the beginning. Extract part of the array FROM the given COLUMN number</x14:argumentDescription>
            <x14:argumentDescription index="4">[EndDim2] Optional. By default = the end. Extract TO the given COLUMN number</x14:argumentDescription>
          </x14:argumentDescriptions>
        </x14:definedName>
        <x14:definedName name="TRANSRNG">
          <x14:argumentDescriptions count="5">
            <x14:argumentDescription index="0">ToTranspose: A ONLY ONE AREA RANGE to transpose.</x14:argumentDescription>
            <x14:argumentDescription index="1">[StartDim1] Optional. By default = the beginning. Extract part of the range FROM the given ROW number</x14:argumentDescription>
            <x14:argumentDescription index="2">[EndDim1] Optional. By default = the end. Extract TO the given ROW number</x14:argumentDescription>
            <x14:argumentDescription index="3">[StartDim2] Optional. By default = the beginning. Extract part of the array FROM the given COLUMN number</x14:argumentDescription>
            <x14:argumentDescription index="4">[EndDim2] Optional. By default = the end. Extract TO the given COLUMN number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0" i="1" l="1" a="1"/>
  <c r="I10" i="1" a="1"/>
  <c r="I24" i="1" a="1"/>
  <c r="I16" i="1" a="1"/>
  <c r="I3" i="1" a="1"/>
  <c r="I3" i="1" l="1"/>
  <c r="I16" i="1"/>
  <c r="I24" i="1"/>
  <c r="I10" i="1"/>
  <c r="I3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<sst xmlns="http://schemas.openxmlformats.org/spreadsheetml/2006/main" count="323" uniqueCount="175">
  <si>
    <t>Paramètre</t>
  </si>
  <si>
    <t>Valeur / LBound</t>
  </si>
  <si>
    <t>UBound</t>
  </si>
  <si>
    <t>Avant transposition</t>
  </si>
  <si>
    <t>Après transposition</t>
  </si>
  <si>
    <t>WorksheetFunction.Transpose</t>
  </si>
  <si>
    <t>Like Excel</t>
  </si>
  <si>
    <t>Nombre de dimensions table source</t>
  </si>
  <si>
    <t>Base Out dimension 1</t>
  </si>
  <si>
    <t>Base Out dimension 2</t>
  </si>
  <si>
    <t>Initialiser table source</t>
  </si>
  <si>
    <r>
      <t xml:space="preserve">Extraire </t>
    </r>
    <r>
      <rPr>
        <b/>
        <u/>
        <sz val="12"/>
        <color rgb="FFC00000"/>
        <rFont val="Aptos Narrow"/>
        <family val="2"/>
        <scheme val="minor"/>
      </rPr>
      <t>de Dim 1 (</t>
    </r>
    <r>
      <rPr>
        <b/>
        <i/>
        <u/>
        <sz val="10"/>
        <color rgb="FFC00000"/>
        <rFont val="Aptos Narrow"/>
        <family val="2"/>
        <scheme val="minor"/>
      </rPr>
      <t>Ligne/Row</t>
    </r>
    <r>
      <rPr>
        <b/>
        <u/>
        <sz val="12"/>
        <color rgb="FFC00000"/>
        <rFont val="Aptos Narrow"/>
        <family val="2"/>
        <scheme val="minor"/>
      </rPr>
      <t>)</t>
    </r>
    <r>
      <rPr>
        <b/>
        <sz val="12"/>
        <color rgb="FFC00000"/>
        <rFont val="Aptos Narrow"/>
        <family val="2"/>
        <scheme val="minor"/>
      </rPr>
      <t xml:space="preserve"> du N° au N°</t>
    </r>
  </si>
  <si>
    <r>
      <t xml:space="preserve">Extraire </t>
    </r>
    <r>
      <rPr>
        <b/>
        <u/>
        <sz val="12"/>
        <color rgb="FFC00000"/>
        <rFont val="Aptos Narrow"/>
        <family val="2"/>
        <scheme val="minor"/>
      </rPr>
      <t>de Dim 2 (</t>
    </r>
    <r>
      <rPr>
        <b/>
        <i/>
        <u/>
        <sz val="10"/>
        <color rgb="FFC00000"/>
        <rFont val="Aptos Narrow"/>
        <family val="2"/>
        <scheme val="minor"/>
      </rPr>
      <t>Colonne/Column</t>
    </r>
    <r>
      <rPr>
        <b/>
        <u/>
        <sz val="12"/>
        <color rgb="FFC00000"/>
        <rFont val="Aptos Narrow"/>
        <family val="2"/>
        <scheme val="minor"/>
      </rPr>
      <t>)</t>
    </r>
    <r>
      <rPr>
        <b/>
        <sz val="12"/>
        <color rgb="FFC00000"/>
        <rFont val="Aptos Narrow"/>
        <family val="2"/>
        <scheme val="minor"/>
      </rPr>
      <t xml:space="preserve"> du N° au N°</t>
    </r>
  </si>
  <si>
    <r>
      <rPr>
        <b/>
        <sz val="11"/>
        <color rgb="FFC00000"/>
        <rFont val="Aptos Narrow"/>
        <family val="2"/>
        <scheme val="minor"/>
      </rPr>
      <t>Table</t>
    </r>
    <r>
      <rPr>
        <sz val="11"/>
        <color theme="1"/>
        <rFont val="Aptos Narrow"/>
        <family val="2"/>
        <scheme val="minor"/>
      </rPr>
      <t xml:space="preserve"> </t>
    </r>
    <r>
      <rPr>
        <b/>
        <sz val="11"/>
        <color rgb="FFC00000"/>
        <rFont val="Aptos Narrow"/>
        <family val="2"/>
        <scheme val="minor"/>
      </rPr>
      <t>SOURCE</t>
    </r>
    <r>
      <rPr>
        <sz val="11"/>
        <color theme="1"/>
        <rFont val="Aptos Narrow"/>
        <family val="2"/>
        <scheme val="minor"/>
      </rPr>
      <t xml:space="preserve"> dimention 1</t>
    </r>
  </si>
  <si>
    <r>
      <rPr>
        <b/>
        <sz val="11"/>
        <color rgb="FFC00000"/>
        <rFont val="Aptos Narrow"/>
        <family val="2"/>
        <scheme val="minor"/>
      </rPr>
      <t>Table</t>
    </r>
    <r>
      <rPr>
        <sz val="11"/>
        <color theme="1"/>
        <rFont val="Aptos Narrow"/>
        <family val="2"/>
        <scheme val="minor"/>
      </rPr>
      <t xml:space="preserve"> </t>
    </r>
    <r>
      <rPr>
        <b/>
        <sz val="11"/>
        <color rgb="FFC00000"/>
        <rFont val="Aptos Narrow"/>
        <family val="2"/>
        <scheme val="minor"/>
      </rPr>
      <t>SOURCE</t>
    </r>
    <r>
      <rPr>
        <sz val="11"/>
        <color theme="1"/>
        <rFont val="Aptos Narrow"/>
        <family val="2"/>
        <scheme val="minor"/>
      </rPr>
      <t xml:space="preserve"> dimention 2</t>
    </r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</si>
  <si>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</si>
  <si>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</si>
  <si>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</si>
  <si>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</si>
  <si>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</si>
  <si>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</si>
  <si>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</si>
  <si>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</si>
  <si>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</si>
  <si>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</si>
  <si>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</si>
  <si>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</si>
  <si>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</si>
  <si>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</si>
  <si>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</si>
  <si>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</si>
  <si>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</si>
  <si>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</si>
  <si>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</si>
  <si>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</si>
  <si>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</si>
  <si>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</si>
  <si>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</si>
  <si>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</si>
  <si>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</si>
  <si>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</si>
  <si>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</si>
  <si>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</si>
  <si>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</si>
  <si>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</si>
  <si>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</si>
  <si>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</si>
  <si>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</si>
  <si>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</si>
  <si>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</si>
  <si>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</si>
  <si>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</si>
  <si>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</si>
  <si>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</si>
  <si>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</si>
  <si>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</si>
  <si>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</si>
  <si>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</si>
  <si>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</si>
  <si>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</si>
  <si>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</si>
  <si>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</si>
  <si>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</si>
  <si>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</si>
  <si>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</si>
  <si>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</si>
  <si>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</si>
  <si>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</si>
  <si>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</si>
  <si>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</si>
  <si>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</si>
  <si>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</si>
  <si>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</si>
  <si>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</si>
  <si>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</si>
  <si>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</si>
  <si>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</si>
  <si>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</si>
  <si>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</si>
  <si>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</si>
  <si>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</si>
  <si>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</si>
  <si>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</si>
  <si>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</si>
  <si>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</si>
  <si>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</si>
  <si>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</si>
  <si>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ColonnE1</t>
  </si>
  <si>
    <t>ColonnE2</t>
  </si>
  <si>
    <t>ColonnE3</t>
  </si>
  <si>
    <t>ColonnE4</t>
  </si>
  <si>
    <t>ColonnE5</t>
  </si>
  <si>
    <t>ColonnE6</t>
  </si>
  <si>
    <t>ColonnE7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</si>
  <si>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</si>
  <si>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</si>
  <si>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</si>
  <si>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</si>
  <si>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</si>
  <si>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</si>
  <si>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</si>
  <si>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</si>
  <si>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</si>
  <si>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</si>
  <si>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</si>
  <si>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</si>
  <si>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</si>
  <si>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</si>
  <si>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</si>
  <si>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</si>
  <si>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</si>
  <si>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</si>
  <si>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</si>
  <si>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</si>
  <si>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</si>
  <si>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</si>
  <si>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</si>
  <si>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</si>
  <si>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</si>
  <si>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</si>
  <si>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</si>
  <si>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</si>
  <si>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</si>
  <si>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</si>
  <si>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</si>
  <si>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</si>
  <si>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</si>
  <si>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</si>
  <si>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</si>
  <si>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</si>
  <si>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</si>
  <si>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</si>
  <si>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</si>
  <si>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</si>
  <si>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</si>
  <si>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</si>
  <si>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</si>
  <si>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</si>
  <si>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</si>
  <si>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</si>
  <si>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</si>
  <si>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</si>
  <si>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</si>
  <si>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</si>
  <si>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</si>
  <si>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</si>
  <si>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</si>
  <si>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</si>
  <si>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A21</t>
  </si>
  <si>
    <t>B21</t>
  </si>
  <si>
    <t>C21</t>
  </si>
  <si>
    <t>D21</t>
  </si>
  <si>
    <t>E21</t>
  </si>
  <si>
    <t>F21</t>
  </si>
  <si>
    <t>G21</t>
  </si>
  <si>
    <t>A22</t>
  </si>
  <si>
    <t>B22</t>
  </si>
  <si>
    <t>C22</t>
  </si>
  <si>
    <t>D22</t>
  </si>
  <si>
    <t>E22</t>
  </si>
  <si>
    <t>F22</t>
  </si>
  <si>
    <t>G22</t>
  </si>
  <si>
    <t>SI BORNES, garder la numérotation de Dim1</t>
  </si>
  <si>
    <t>SI BORNES, garder la numérotation de Dim2</t>
  </si>
  <si>
    <t>Défaut</t>
  </si>
  <si>
    <t>ACTIVE/DESACTIVE 
Transpose d'Excel</t>
  </si>
  <si>
    <t>POUR CONTROLER FACILEMENT</t>
  </si>
  <si>
    <t>IDEM FROM ANOTHER LOCAL SHEET</t>
  </si>
  <si>
    <r>
      <t>IDEM FROM EXTERNAL DATAS FILE (</t>
    </r>
    <r>
      <rPr>
        <b/>
        <sz val="16"/>
        <color rgb="FFC00000"/>
        <rFont val="Aptos Narrow"/>
        <family val="2"/>
        <scheme val="minor"/>
      </rPr>
      <t>Do not forget to change the file's path</t>
    </r>
    <r>
      <rPr>
        <b/>
        <sz val="16"/>
        <color theme="1"/>
        <rFont val="Aptos Narrow"/>
        <family val="2"/>
        <scheme val="minor"/>
      </rPr>
      <t>)</t>
    </r>
  </si>
  <si>
    <t>TRANSPOSE A PART OF THE SELECTED AREA</t>
  </si>
  <si>
    <r>
      <t xml:space="preserve">TRANSPOSE PART OF THE SELECTED AREA </t>
    </r>
    <r>
      <rPr>
        <b/>
        <sz val="16"/>
        <color rgb="FFC00000"/>
        <rFont val="Aptos Narrow"/>
        <family val="2"/>
        <scheme val="minor"/>
      </rPr>
      <t>CHOSEN</t>
    </r>
    <r>
      <rPr>
        <b/>
        <sz val="16"/>
        <color theme="1"/>
        <rFont val="Aptos Narrow"/>
        <family val="2"/>
        <scheme val="minor"/>
      </rPr>
      <t xml:space="preserve"> </t>
    </r>
    <r>
      <rPr>
        <b/>
        <sz val="16"/>
        <color rgb="FFC00000"/>
        <rFont val="Aptos Narrow"/>
        <family val="2"/>
        <scheme val="minor"/>
      </rPr>
      <t>BY THE ROWS AND COLUMNS NUMBERS</t>
    </r>
  </si>
  <si>
    <t>TRANSRANGE(B7:E14)</t>
  </si>
  <si>
    <t>TRANSRANGE(Feuil1!B7:E14)</t>
  </si>
  <si>
    <t>TRANSRANGE(Tableau4;;10;15;3;6)</t>
  </si>
  <si>
    <r>
      <t xml:space="preserve">Afficher resultats? </t>
    </r>
    <r>
      <rPr>
        <b/>
        <sz val="12"/>
        <color rgb="FFC00000"/>
        <rFont val="Aptos Narrow"/>
        <family val="2"/>
        <scheme val="minor"/>
      </rPr>
      <t>SI DE GROS TRAITEMENTS METTRE = FAUX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</si>
</sst>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8"/>
      <color rgb="FF000000"/>
      <name val="Calibri"/>
      <family val="2"/>
    </font>
    <font>
      <sz val="8"/>
      <color rgb="FF000000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C0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rgb="FFC00000"/>
      <name val="Aptos Narrow"/>
      <family val="2"/>
      <scheme val="minor"/>
    </font>
    <font>
      <b/>
      <u/>
      <sz val="12"/>
      <color rgb="FFC00000"/>
      <name val="Aptos Narrow"/>
      <family val="2"/>
      <scheme val="minor"/>
    </font>
    <font>
      <b/>
      <i/>
      <u/>
      <sz val="10"/>
      <color rgb="FFC0000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6"/>
      <color rgb="FFC00000"/>
      <name val="Aptos Narrow"/>
      <family val="2"/>
      <scheme val="minor"/>
    </font>
    <font>
      <b/>
      <sz val="12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lightDown"/>
    </fill>
  </fills>
  <borders count="19">
    <border>
      <left/>
      <right/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38">
    <xf numFmtId="0" fontId="0" fillId="0" borderId="0" xfId="0"/>
    <xf numFmtId="0" fontId="5" fillId="0" borderId="0" xfId="1"/>
    <xf numFmtId="49" fontId="5" fillId="0" borderId="0" xfId="1" applyNumberFormat="1"/>
    <xf numFmtId="0" fontId="5" fillId="0" borderId="1" xfId="1" applyBorder="1"/>
    <xf numFmtId="0" fontId="5" fillId="0" borderId="2" xfId="1" applyBorder="1"/>
    <xf numFmtId="0" fontId="5" fillId="0" borderId="3" xfId="1" applyBorder="1"/>
    <xf numFmtId="0" fontId="5" fillId="0" borderId="4" xfId="1" applyBorder="1"/>
    <xf numFmtId="0" fontId="5" fillId="0" borderId="5" xfId="1" applyBorder="1"/>
    <xf numFmtId="0" fontId="5" fillId="2" borderId="6" xfId="1" applyFill="1" applyBorder="1"/>
    <xf numFmtId="0" fontId="5" fillId="0" borderId="7" xfId="1" applyBorder="1"/>
    <xf numFmtId="0" fontId="5" fillId="0" borderId="8" xfId="1" applyBorder="1"/>
    <xf numFmtId="0" fontId="5" fillId="2" borderId="9" xfId="1" applyFill="1" applyBorder="1"/>
    <xf numFmtId="0" fontId="5" fillId="0" borderId="10" xfId="1" applyBorder="1"/>
    <xf numFmtId="0" fontId="5" fillId="0" borderId="11" xfId="1" applyBorder="1"/>
    <xf numFmtId="0" fontId="5" fillId="0" borderId="12" xfId="1" applyBorder="1"/>
    <xf numFmtId="0" fontId="5" fillId="0" borderId="13" xfId="1" applyBorder="1"/>
    <xf numFmtId="3" fontId="5" fillId="2" borderId="9" xfId="1" applyNumberFormat="1" applyFill="1" applyBorder="1"/>
    <xf numFmtId="3" fontId="5" fillId="2" borderId="14" xfId="1" applyNumberFormat="1" applyFill="1" applyBorder="1"/>
    <xf numFmtId="0" fontId="5" fillId="0" borderId="15" xfId="1" applyBorder="1"/>
    <xf numFmtId="0" fontId="7" fillId="0" borderId="16" xfId="1" applyFont="1" applyBorder="1"/>
    <xf numFmtId="3" fontId="5" fillId="0" borderId="17" xfId="1" applyNumberFormat="1" applyBorder="1"/>
    <xf numFmtId="0" fontId="8" fillId="0" borderId="7" xfId="1" applyFont="1" applyBorder="1"/>
    <xf numFmtId="0" fontId="2" fillId="0" borderId="8" xfId="1" applyFont="1" applyBorder="1"/>
    <xf numFmtId="3" fontId="2" fillId="0" borderId="9" xfId="1" applyNumberFormat="1" applyFont="1" applyBorder="1"/>
    <xf numFmtId="0" fontId="6" fillId="0" borderId="12" xfId="1" applyFont="1" applyBorder="1"/>
    <xf numFmtId="0" fontId="6" fillId="0" borderId="13" xfId="1" applyFont="1" applyBorder="1"/>
    <xf numFmtId="3" fontId="2" fillId="2" borderId="14" xfId="1" applyNumberFormat="1" applyFont="1" applyFill="1" applyBorder="1"/>
    <xf numFmtId="0" fontId="6" fillId="0" borderId="5" xfId="1" applyFont="1" applyBorder="1"/>
    <xf numFmtId="3" fontId="2" fillId="2" borderId="6" xfId="1" applyNumberFormat="1" applyFont="1" applyFill="1" applyBorder="1"/>
    <xf numFmtId="0" fontId="11" fillId="0" borderId="16" xfId="1" applyFont="1" applyBorder="1"/>
    <xf numFmtId="3" fontId="2" fillId="0" borderId="17" xfId="1" applyNumberFormat="1" applyFont="1" applyBorder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7" fillId="0" borderId="0" xfId="1" applyFont="1" applyAlignment="1">
      <alignment horizontal="center" wrapText="1"/>
    </xf>
    <xf numFmtId="3" fontId="5" fillId="0" borderId="6" xfId="1" applyNumberFormat="1" applyBorder="1"/>
    <xf numFmtId="3" fontId="5" fillId="0" borderId="18" xfId="1" applyNumberFormat="1" applyBorder="1"/>
    <xf numFmtId="0" fontId="16" fillId="0" borderId="15" xfId="1" applyFont="1" applyBorder="1"/>
  </cellXfs>
  <cellStyles count="2">
    <cellStyle name="Normal" xfId="0" builtinId="0"/>
    <cellStyle name="Normal 2" xfId="1" xr:uid="{D3E4FFFB-B3D1-4D64-87BD-C0CD3D81C0FD}"/>
  </cellStyles>
  <dxfs count="2">
    <dxf>
      <border>
        <bottom style="thick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C6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2051" name="Check Box 3" descr="Excel Transpos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BD7BB"/>
            </a:solidFill>
            <a:ln w="28575">
              <a:solidFill>
                <a:srgbClr val="C0000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Excel Transpose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apa\AppData\Roaming\Microsoft\AddIns\AL7_UDF\AL7_Transpose2D%20V2.1.xlam" TargetMode="External"/><Relationship Id="rId1" Type="http://schemas.openxmlformats.org/officeDocument/2006/relationships/externalLinkPath" Target="file:///C:\Users\Papa\AppData\Roaming\Microsoft\AddIns\AL7_UDF\AL7_Transpose2D%20V2.1.xla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FONCTIONS%20VBA%20PERSO\AL7_UDF\DEMO%20TRANSPOSE2D\EXTERNAL%20DATAS.xlsx" TargetMode="External"/><Relationship Id="rId1" Type="http://schemas.openxmlformats.org/officeDocument/2006/relationships/externalLinkPath" Target="EXTERNAL%20DAT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IntelliSense_"/>
    </sheetNames>
    <definedNames>
      <definedName name="TRANS2D"/>
      <definedName name="TRANSRANGE"/>
      <definedName name="TRANSRNG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euil1"/>
    </sheetNames>
    <sheetDataSet>
      <sheetData sheetId="0">
        <row r="7">
          <cell r="B7" t="str">
            <v>B7</v>
          </cell>
          <cell r="C7" t="str">
            <v>C7</v>
          </cell>
          <cell r="D7" t="str">
            <v>D7</v>
          </cell>
          <cell r="E7" t="str">
            <v>E7</v>
          </cell>
        </row>
        <row r="8">
          <cell r="B8" t="str">
            <v>B8</v>
          </cell>
          <cell r="C8" t="str">
            <v>C8</v>
          </cell>
          <cell r="D8" t="str">
            <v>D8</v>
          </cell>
          <cell r="E8" t="str">
            <v>E8</v>
          </cell>
        </row>
        <row r="9">
          <cell r="B9" t="str">
            <v>B9</v>
          </cell>
          <cell r="C9" t="str">
            <v>C9</v>
          </cell>
          <cell r="D9" t="str">
            <v>D9</v>
          </cell>
          <cell r="E9" t="str">
            <v>E9</v>
          </cell>
        </row>
        <row r="10">
          <cell r="B10" t="str">
            <v>B10</v>
          </cell>
          <cell r="C10" t="str">
            <v>C10</v>
          </cell>
          <cell r="D10" t="str">
            <v>D10</v>
          </cell>
          <cell r="E10" t="str">
            <v>E10</v>
          </cell>
        </row>
        <row r="11">
          <cell r="B11" t="str">
            <v>B11</v>
          </cell>
          <cell r="C11" t="str">
            <v>C11</v>
          </cell>
          <cell r="D11" t="str">
            <v>D11</v>
          </cell>
          <cell r="E11" t="str">
            <v>E11</v>
          </cell>
        </row>
        <row r="12">
          <cell r="B12" t="str">
            <v>B12</v>
          </cell>
          <cell r="C12" t="str">
            <v>C12</v>
          </cell>
          <cell r="D12" t="str">
            <v>D12</v>
          </cell>
          <cell r="E12" t="str">
            <v>E12</v>
          </cell>
        </row>
        <row r="13">
          <cell r="B13" t="str">
            <v>B13</v>
          </cell>
          <cell r="C13" t="str">
            <v>C13</v>
          </cell>
          <cell r="D13" t="str">
            <v>D13</v>
          </cell>
          <cell r="E13" t="str">
            <v>E13</v>
          </cell>
        </row>
        <row r="14">
          <cell r="B14" t="str">
            <v>B14</v>
          </cell>
          <cell r="C14" t="str">
            <v>C14</v>
          </cell>
          <cell r="D14" t="str">
            <v>D14</v>
          </cell>
          <cell r="E14" t="str">
            <v>E14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836471-B818-4810-BF59-2F40DDF6068B}" name="TableauParamètres" displayName="TableauParamètres" ref="E2:G14" totalsRowShown="0" headerRowDxfId="1" headerRowBorderDxfId="0">
  <tableColumns count="3">
    <tableColumn id="1" xr3:uid="{E5F109CF-6411-45EA-88E2-A4352935EF10}" name="Paramètre"/>
    <tableColumn id="2" xr3:uid="{F0F0B41D-D61D-4E07-9ACB-9C3F74B9B02F}" name="Valeur / LBound"/>
    <tableColumn id="3" xr3:uid="{64370E66-C8B7-4670-9EA0-3B2661E84AF8}" name="UBoun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799E261-ABD3-4F48-8EC8-63A074606652}" name="TableauTables" displayName="TableauTables" ref="I2:K3" insertRow="1" totalsRowShown="0">
  <autoFilter ref="I2:K3" xr:uid="{3FFE494F-9FD3-44A6-91C5-41A34E441700}">
    <filterColumn colId="0" hiddenButton="1"/>
    <filterColumn colId="1" hiddenButton="1"/>
    <filterColumn colId="2" hiddenButton="1"/>
  </autoFilter>
  <tableColumns count="3">
    <tableColumn id="1" xr3:uid="{55A382EB-5A44-4033-919A-E9E788100CED}" name="Avant transposition"/>
    <tableColumn id="2" xr3:uid="{D0DCB512-91F9-4329-AF3A-C8B2DAE8660B}" name="Après transposition"/>
    <tableColumn id="3" xr3:uid="{0CC2E3AB-0A6B-4A5D-A3DA-A0FDC2D1DD62}" name="WorksheetFunction.Transpose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B66E38-7321-4D44-9086-7BF3C3C63081}" name="TabloXLAM" displayName="TabloXLAM" ref="A2:G22" totalsRowShown="0">
  <autoFilter ref="A2:G22" xr:uid="{46B66E38-7321-4D44-9086-7BF3C3C63081}"/>
  <tableColumns count="7">
    <tableColumn id="1" xr3:uid="{9E15045F-5368-473A-B1C1-9A2289EFF6D8}" name="ColonnE1"/>
    <tableColumn id="2" xr3:uid="{2B78A984-E197-44E5-A16D-1A2B705871E6}" name="ColonnE2"/>
    <tableColumn id="3" xr3:uid="{41F35310-AFD2-40D0-BE20-C79EC0920C13}" name="ColonnE3"/>
    <tableColumn id="4" xr3:uid="{D6044CF7-3FDC-4132-87D3-083B35E6B334}" name="ColonnE4"/>
    <tableColumn id="5" xr3:uid="{7CEA3C43-5E94-4347-B762-F01CDBB4628C}" name="ColonnE5"/>
    <tableColumn id="6" xr3:uid="{71516CA4-736F-4F6E-9B0C-4834B93DF364}" name="ColonnE6"/>
    <tableColumn id="7" xr3:uid="{72D125E1-61C7-4AEC-8402-9CF12D77EBF2}" name="ColonnE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47A61B7-60D9-4D28-9270-CAD592B2535C}" name="TabloDatasSheet" displayName="TabloDatasSheet" ref="A2:G22" totalsRowShown="0">
  <autoFilter ref="A2:G22" xr:uid="{947A61B7-60D9-4D28-9270-CAD592B2535C}"/>
  <tableColumns count="7">
    <tableColumn id="1" xr3:uid="{594CEA82-7AD5-4BF0-8E76-333F9928BE9A}" name="ColonnE1"/>
    <tableColumn id="2" xr3:uid="{A7231416-F1BE-4601-A949-177E4E93889D}" name="ColonnE2"/>
    <tableColumn id="3" xr3:uid="{4B4FCA48-4569-4EF0-91F0-3E851C9B77E1}" name="ColonnE3"/>
    <tableColumn id="4" xr3:uid="{BF838857-A53B-4505-8E79-6FD51EB430E9}" name="ColonnE4"/>
    <tableColumn id="5" xr3:uid="{FE1EBCA5-7F0D-4CE1-A2E9-48BB394F1564}" name="ColonnE5"/>
    <tableColumn id="6" xr3:uid="{0932D2D8-95ED-4161-AC22-B17264DE71AF}" name="ColonnE6"/>
    <tableColumn id="7" xr3:uid="{4A3EAD87-1CF9-410C-A362-3444A1608308}" name="ColonnE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25580-ACDB-4EBF-8BED-F906EAA51171}">
  <sheetPr codeName="sht_DEMO"/>
  <dimension ref="B1:K35"/>
  <sheetViews>
    <sheetView tabSelected="1" zoomScale="120" zoomScaleNormal="120" workbookViewId="0">
      <selection activeCell="C13" sqref="C13"/>
    </sheetView>
  </sheetViews>
  <sheetFormatPr baseColWidth="10" defaultRowHeight="15" x14ac:dyDescent="0.25"/>
  <cols>
    <col min="1" max="1" width="4.25" style="1" customWidth="1"/>
    <col min="2" max="2" width="8.125" style="1" customWidth="1"/>
    <col min="3" max="3" width="12" style="1" customWidth="1"/>
    <col min="4" max="4" width="5.5" style="1" customWidth="1"/>
    <col min="5" max="5" width="51.125" style="1" bestFit="1" customWidth="1"/>
    <col min="6" max="7" width="12.625" style="1" customWidth="1"/>
    <col min="8" max="8" width="6.875" style="1" customWidth="1"/>
    <col min="9" max="9" width="16.625" style="2" bestFit="1" customWidth="1"/>
    <col min="10" max="10" width="20.125" style="1" bestFit="1" customWidth="1"/>
    <col min="11" max="11" width="25" style="1" bestFit="1" customWidth="1"/>
    <col min="12" max="16384" width="11" style="1"/>
  </cols>
  <sheetData>
    <row r="1" spans="2:11" ht="15.75" thickBot="1" x14ac:dyDescent="0.3"/>
    <row r="2" spans="2:11" ht="17.25" customHeight="1" thickTop="1" thickBot="1" x14ac:dyDescent="0.3">
      <c r="B2" s="34" t="s">
        <v>165</v>
      </c>
      <c r="C2" s="34"/>
      <c r="E2" s="3" t="s">
        <v>0</v>
      </c>
      <c r="F2" s="4" t="s">
        <v>1</v>
      </c>
      <c r="G2" s="5" t="s">
        <v>2</v>
      </c>
      <c r="I2" s="2" t="s">
        <v>3</v>
      </c>
      <c r="J2" s="1" t="s">
        <v>4</v>
      </c>
      <c r="K2" s="1" t="s">
        <v>5</v>
      </c>
    </row>
    <row r="3" spans="2:11" ht="16.5" customHeight="1" thickTop="1" thickBot="1" x14ac:dyDescent="0.3">
      <c r="B3" s="34"/>
      <c r="C3" s="34"/>
      <c r="E3" s="6" t="s">
        <v>6</v>
      </c>
      <c r="F3" s="7" t="b">
        <v>0</v>
      </c>
      <c r="G3" s="8"/>
      <c r="I3" s="1"/>
    </row>
    <row r="4" spans="2:11" ht="15.75" thickTop="1" x14ac:dyDescent="0.25">
      <c r="E4" s="9" t="s">
        <v>7</v>
      </c>
      <c r="F4" s="10">
        <v>2</v>
      </c>
      <c r="G4" s="11"/>
    </row>
    <row r="5" spans="2:11" x14ac:dyDescent="0.25">
      <c r="E5" s="12" t="s">
        <v>13</v>
      </c>
      <c r="F5" s="13">
        <v>1</v>
      </c>
      <c r="G5" s="36">
        <v>100000</v>
      </c>
    </row>
    <row r="6" spans="2:11" ht="15.75" thickBot="1" x14ac:dyDescent="0.3">
      <c r="C6" s="1" t="b">
        <v>1</v>
      </c>
      <c r="E6" s="14" t="s">
        <v>14</v>
      </c>
      <c r="F6" s="15">
        <v>1</v>
      </c>
      <c r="G6" s="35">
        <v>500</v>
      </c>
    </row>
    <row r="7" spans="2:11" ht="15.75" thickTop="1" x14ac:dyDescent="0.25">
      <c r="E7" s="9" t="s">
        <v>8</v>
      </c>
      <c r="F7" s="10" t="s">
        <v>164</v>
      </c>
      <c r="G7" s="16"/>
    </row>
    <row r="8" spans="2:11" ht="15.75" thickBot="1" x14ac:dyDescent="0.3">
      <c r="E8" s="14" t="s">
        <v>9</v>
      </c>
      <c r="F8" s="15" t="s">
        <v>164</v>
      </c>
      <c r="G8" s="17"/>
    </row>
    <row r="9" spans="2:11" ht="16.5" thickTop="1" thickBot="1" x14ac:dyDescent="0.3">
      <c r="E9" s="18" t="s">
        <v>10</v>
      </c>
      <c r="F9" s="19" t="b">
        <v>1</v>
      </c>
      <c r="G9" s="20"/>
    </row>
    <row r="10" spans="2:11" ht="16.5" thickTop="1" x14ac:dyDescent="0.25">
      <c r="E10" s="21" t="s">
        <v>11</v>
      </c>
      <c r="F10" s="22"/>
      <c r="G10" s="23"/>
    </row>
    <row r="11" spans="2:11" ht="16.5" thickBot="1" x14ac:dyDescent="0.3">
      <c r="E11" s="24" t="s">
        <v>162</v>
      </c>
      <c r="F11" s="25" t="b">
        <v>0</v>
      </c>
      <c r="G11" s="26"/>
    </row>
    <row r="12" spans="2:11" ht="16.5" thickTop="1" x14ac:dyDescent="0.25">
      <c r="E12" s="21" t="s">
        <v>12</v>
      </c>
      <c r="F12" s="22"/>
      <c r="G12" s="23"/>
    </row>
    <row r="13" spans="2:11" ht="16.5" thickBot="1" x14ac:dyDescent="0.3">
      <c r="E13" s="24" t="s">
        <v>163</v>
      </c>
      <c r="F13" s="27" t="b">
        <v>0</v>
      </c>
      <c r="G13" s="28"/>
    </row>
    <row r="14" spans="2:11" ht="17.25" thickTop="1" thickBot="1" x14ac:dyDescent="0.3">
      <c r="E14" s="37" t="s">
        <v>174</v>
      </c>
      <c r="F14" s="29" t="b">
        <v>0</v>
      </c>
      <c r="G14" s="30"/>
    </row>
    <row r="15" spans="2:11" ht="15.75" thickTop="1" x14ac:dyDescent="0.25"/>
    <row r="19" spans="3:11" x14ac:dyDescent="0.25">
      <c r="E19" s="2"/>
      <c r="F19" s="2"/>
      <c r="G19" s="2"/>
    </row>
    <row r="23" spans="3:11" s="2" customFormat="1" x14ac:dyDescent="0.25">
      <c r="C23" s="1"/>
      <c r="J23" s="1"/>
      <c r="K23" s="1"/>
    </row>
    <row r="24" spans="3:11" s="2" customFormat="1" x14ac:dyDescent="0.25">
      <c r="C24" s="1"/>
      <c r="E24" s="1"/>
      <c r="F24" s="1"/>
      <c r="G24" s="1"/>
      <c r="J24" s="1"/>
      <c r="K24" s="1"/>
    </row>
    <row r="25" spans="3:11" s="2" customFormat="1" x14ac:dyDescent="0.25">
      <c r="C25" s="1"/>
      <c r="J25" s="1"/>
      <c r="K25" s="1"/>
    </row>
    <row r="26" spans="3:11" s="2" customFormat="1" x14ac:dyDescent="0.25">
      <c r="C26" s="1"/>
      <c r="J26" s="1"/>
      <c r="K26" s="1"/>
    </row>
    <row r="27" spans="3:11" s="2" customFormat="1" x14ac:dyDescent="0.25">
      <c r="C27" s="1"/>
      <c r="J27" s="1"/>
      <c r="K27" s="1"/>
    </row>
    <row r="28" spans="3:11" s="2" customFormat="1" x14ac:dyDescent="0.25">
      <c r="C28" s="1"/>
      <c r="J28" s="1"/>
      <c r="K28" s="1"/>
    </row>
    <row r="29" spans="3:11" s="2" customFormat="1" x14ac:dyDescent="0.25">
      <c r="C29" s="1"/>
      <c r="J29" s="1"/>
      <c r="K29" s="1"/>
    </row>
    <row r="30" spans="3:11" s="2" customFormat="1" x14ac:dyDescent="0.25">
      <c r="J30" s="1"/>
      <c r="K30" s="1"/>
    </row>
    <row r="31" spans="3:11" s="2" customFormat="1" x14ac:dyDescent="0.25">
      <c r="J31" s="1"/>
      <c r="K31" s="1"/>
    </row>
    <row r="32" spans="3:11" s="2" customFormat="1" x14ac:dyDescent="0.25">
      <c r="J32" s="1"/>
      <c r="K32" s="1"/>
    </row>
    <row r="33" spans="5:11" s="2" customFormat="1" x14ac:dyDescent="0.25">
      <c r="J33" s="1"/>
      <c r="K33" s="1"/>
    </row>
    <row r="34" spans="5:11" x14ac:dyDescent="0.25">
      <c r="E34" s="2"/>
      <c r="F34" s="2"/>
      <c r="G34" s="2"/>
    </row>
    <row r="35" spans="5:11" x14ac:dyDescent="0.25">
      <c r="E35" s="2"/>
      <c r="F35" s="2"/>
      <c r="G35" s="2"/>
    </row>
  </sheetData>
  <mergeCells count="1">
    <mergeCell ref="B2:C3"/>
  </mergeCells>
  <phoneticPr fontId="1" type="noConversion"/>
  <dataValidations count="10">
    <dataValidation type="list" showInputMessage="1" showErrorMessage="1" sqref="G5:G6" xr:uid="{483BE95C-B6EF-4B72-B776-42F8472671A6}">
      <formula1>"-10,-5,-4,-3,-2,-1,0,1,2,3,4,5,10,50,100,500,1000,5000,10000,50000,100000,500000,1000000"</formula1>
    </dataValidation>
    <dataValidation type="whole" allowBlank="1" showInputMessage="1" showErrorMessage="1" errorTitle="Numéro de départ" error="Valeur hors limites" sqref="G12" xr:uid="{273D1783-7084-4C9F-AF3F-631E25641B05}">
      <formula1>F6</formula1>
      <formula2>G6</formula2>
    </dataValidation>
    <dataValidation type="whole" allowBlank="1" showInputMessage="1" showErrorMessage="1" errorTitle="Numéro de départ" error="Valeur hors limites" sqref="F12" xr:uid="{F0171DEA-A32E-4E9D-BA12-8FCA199A4B67}">
      <formula1>F6</formula1>
      <formula2>G6</formula2>
    </dataValidation>
    <dataValidation type="whole" allowBlank="1" showInputMessage="1" showErrorMessage="1" errorTitle="Numéro de départ" error="Valeur hors limites" sqref="G10:G11 G13" xr:uid="{404615C3-E669-43EA-929E-60BF9F945781}">
      <formula1>F5</formula1>
      <formula2>G5</formula2>
    </dataValidation>
    <dataValidation type="whole" allowBlank="1" showInputMessage="1" showErrorMessage="1" errorTitle="Numéro de départ" error="Valeur hors limites" sqref="F10" xr:uid="{2430B1D5-04BB-45C5-9AFA-639C06D37C7B}">
      <formula1>F5</formula1>
      <formula2>G5</formula2>
    </dataValidation>
    <dataValidation type="list" showInputMessage="1" showErrorMessage="1" sqref="F4" xr:uid="{8997C61B-FF3A-4AB7-A9FE-F4F5F7A3E720}">
      <formula1>"Valeur,1,2"</formula1>
    </dataValidation>
    <dataValidation type="list" showInputMessage="1" showErrorMessage="1" sqref="F3 F9 F11 F13:F14" xr:uid="{5874E4E8-0D47-4081-914E-62C84AC8DDD9}">
      <formula1>"VRAI,FAUX"</formula1>
    </dataValidation>
    <dataValidation type="list" allowBlank="1" showInputMessage="1" showErrorMessage="1" sqref="F8" xr:uid="{70A46A49-3150-4BD4-9C6D-A95B2C5B1292}">
      <formula1>"Défaut,-10,5,-4,-3,-2,-1,0,1,2,3,4,5,10"</formula1>
    </dataValidation>
    <dataValidation type="list" showInputMessage="1" showErrorMessage="1" sqref="F5:F6" xr:uid="{032F11FC-608A-447C-BF00-6C0100449461}">
      <formula1>"-10,-5,-4,-3,-2,-1,0,1,2,3,4,5,10"</formula1>
    </dataValidation>
    <dataValidation type="list" allowBlank="1" showInputMessage="1" showErrorMessage="1" sqref="F7" xr:uid="{72EB1AE5-3CD1-4FAA-8EC9-3E74173821C1}">
      <formula1>"Défaut,-10,-5,-4,-3,-2,-1,0,1,2,3,4,5,10"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">
                <anchor moveWithCells="1" siz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Check Box 3">
              <controlPr defaultSize="0" autoFill="0" autoLine="0" autoPict="0" altText="Excel Transpose">
                <anchor mov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8CD02-A61E-4371-996F-F774F2C920D7}">
  <sheetPr codeName="sht_RANGE_XLAM"/>
  <dimension ref="A1:P35"/>
  <sheetViews>
    <sheetView workbookViewId="0">
      <selection activeCell="I23" sqref="I23"/>
    </sheetView>
  </sheetViews>
  <sheetFormatPr baseColWidth="10" defaultRowHeight="15.75" x14ac:dyDescent="0.25"/>
  <cols>
    <col min="7" max="7" width="14.5" bestFit="1" customWidth="1"/>
    <col min="9" max="9" width="14.5" bestFit="1" customWidth="1"/>
  </cols>
  <sheetData>
    <row r="1" spans="1:16" ht="21" x14ac:dyDescent="0.35">
      <c r="I1" s="31" t="s">
        <v>169</v>
      </c>
    </row>
    <row r="2" spans="1:16" ht="18.75" x14ac:dyDescent="0.3">
      <c r="A2" t="s">
        <v>87</v>
      </c>
      <c r="B2" t="s">
        <v>88</v>
      </c>
      <c r="C2" t="s">
        <v>89</v>
      </c>
      <c r="D2" t="s">
        <v>90</v>
      </c>
      <c r="E2" t="s">
        <v>91</v>
      </c>
      <c r="F2" t="s">
        <v>92</v>
      </c>
      <c r="G2" t="s">
        <v>93</v>
      </c>
      <c r="I2" s="33" t="s">
        <v>171</v>
      </c>
    </row>
    <row r="3" spans="1:16" x14ac:dyDescent="0.25">
      <c r="A3" t="s">
        <v>15</v>
      </c>
      <c r="B3" t="s">
        <v>33</v>
      </c>
      <c r="C3" t="s">
        <v>51</v>
      </c>
      <c r="D3" t="s">
        <v>69</v>
      </c>
      <c r="E3" t="s">
        <v>94</v>
      </c>
      <c r="F3" t="s">
        <v>112</v>
      </c>
      <c r="G3" t="s">
        <v>130</v>
      </c>
      <c r="I3" t="str" cm="1">
        <f t="array" ref="I3:P6">[1]!TRANSRNG(B7:E14)</f>
        <v>B7</v>
      </c>
      <c r="J3" t="str">
        <v>B8</v>
      </c>
      <c r="K3" t="str">
        <v>B9</v>
      </c>
      <c r="L3" t="str">
        <v>B10</v>
      </c>
      <c r="M3" t="str">
        <v>B11</v>
      </c>
      <c r="N3" t="str">
        <v>B12</v>
      </c>
      <c r="O3" t="str">
        <v>B13</v>
      </c>
      <c r="P3" t="str">
        <v>B14</v>
      </c>
    </row>
    <row r="4" spans="1:16" x14ac:dyDescent="0.25">
      <c r="A4" t="s">
        <v>16</v>
      </c>
      <c r="B4" t="s">
        <v>34</v>
      </c>
      <c r="C4" t="s">
        <v>52</v>
      </c>
      <c r="D4" t="s">
        <v>70</v>
      </c>
      <c r="E4" t="s">
        <v>95</v>
      </c>
      <c r="F4" t="s">
        <v>113</v>
      </c>
      <c r="G4" t="s">
        <v>131</v>
      </c>
      <c r="I4" t="str">
        <v>C7</v>
      </c>
      <c r="J4" t="str">
        <v>C8</v>
      </c>
      <c r="K4" t="str">
        <v>C9</v>
      </c>
      <c r="L4" t="str">
        <v>C10</v>
      </c>
      <c r="M4" t="str">
        <v>C11</v>
      </c>
      <c r="N4" t="str">
        <v>C12</v>
      </c>
      <c r="O4" t="str">
        <v>C13</v>
      </c>
      <c r="P4" t="str">
        <v>C14</v>
      </c>
    </row>
    <row r="5" spans="1:16" x14ac:dyDescent="0.25">
      <c r="A5" t="s">
        <v>17</v>
      </c>
      <c r="B5" t="s">
        <v>35</v>
      </c>
      <c r="C5" t="s">
        <v>53</v>
      </c>
      <c r="D5" t="s">
        <v>71</v>
      </c>
      <c r="E5" t="s">
        <v>96</v>
      </c>
      <c r="F5" t="s">
        <v>114</v>
      </c>
      <c r="G5" t="s">
        <v>132</v>
      </c>
      <c r="I5" t="str">
        <v>D7</v>
      </c>
      <c r="J5" t="str">
        <v>D8</v>
      </c>
      <c r="K5" t="str">
        <v>D9</v>
      </c>
      <c r="L5" t="str">
        <v>D10</v>
      </c>
      <c r="M5" t="str">
        <v>D11</v>
      </c>
      <c r="N5" t="str">
        <v>D12</v>
      </c>
      <c r="O5" t="str">
        <v>D13</v>
      </c>
      <c r="P5" t="str">
        <v>D14</v>
      </c>
    </row>
    <row r="6" spans="1:16" x14ac:dyDescent="0.25">
      <c r="A6" t="s">
        <v>18</v>
      </c>
      <c r="B6" t="s">
        <v>36</v>
      </c>
      <c r="C6" t="s">
        <v>54</v>
      </c>
      <c r="D6" t="s">
        <v>72</v>
      </c>
      <c r="E6" t="s">
        <v>97</v>
      </c>
      <c r="F6" t="s">
        <v>115</v>
      </c>
      <c r="G6" t="s">
        <v>133</v>
      </c>
      <c r="I6" t="str">
        <v>E7</v>
      </c>
      <c r="J6" t="str">
        <v>E8</v>
      </c>
      <c r="K6" t="str">
        <v>E9</v>
      </c>
      <c r="L6" t="str">
        <v>E10</v>
      </c>
      <c r="M6" t="str">
        <v>E11</v>
      </c>
      <c r="N6" t="str">
        <v>E12</v>
      </c>
      <c r="O6" t="str">
        <v>E13</v>
      </c>
      <c r="P6" t="str">
        <v>E14</v>
      </c>
    </row>
    <row r="7" spans="1:16" x14ac:dyDescent="0.25">
      <c r="A7" t="s">
        <v>19</v>
      </c>
      <c r="B7" t="s">
        <v>37</v>
      </c>
      <c r="C7" t="s">
        <v>55</v>
      </c>
      <c r="D7" t="s">
        <v>73</v>
      </c>
      <c r="E7" t="s">
        <v>98</v>
      </c>
      <c r="F7" t="s">
        <v>116</v>
      </c>
      <c r="G7" t="s">
        <v>134</v>
      </c>
    </row>
    <row r="8" spans="1:16" ht="21" x14ac:dyDescent="0.35">
      <c r="A8" t="s">
        <v>20</v>
      </c>
      <c r="B8" t="s">
        <v>38</v>
      </c>
      <c r="C8" t="s">
        <v>56</v>
      </c>
      <c r="D8" t="s">
        <v>74</v>
      </c>
      <c r="E8" t="s">
        <v>99</v>
      </c>
      <c r="F8" t="s">
        <v>117</v>
      </c>
      <c r="G8" t="s">
        <v>135</v>
      </c>
      <c r="I8" s="31" t="s">
        <v>167</v>
      </c>
    </row>
    <row r="9" spans="1:16" ht="18.75" x14ac:dyDescent="0.3">
      <c r="A9" t="s">
        <v>21</v>
      </c>
      <c r="B9" t="s">
        <v>39</v>
      </c>
      <c r="C9" t="s">
        <v>57</v>
      </c>
      <c r="D9" t="s">
        <v>75</v>
      </c>
      <c r="E9" t="s">
        <v>100</v>
      </c>
      <c r="F9" t="s">
        <v>118</v>
      </c>
      <c r="G9" t="s">
        <v>136</v>
      </c>
      <c r="I9" s="32" t="s">
        <v>172</v>
      </c>
    </row>
    <row r="10" spans="1:16" x14ac:dyDescent="0.25">
      <c r="A10" t="s">
        <v>22</v>
      </c>
      <c r="B10" t="s">
        <v>40</v>
      </c>
      <c r="C10" t="s">
        <v>58</v>
      </c>
      <c r="D10" t="s">
        <v>76</v>
      </c>
      <c r="E10" t="s">
        <v>101</v>
      </c>
      <c r="F10" t="s">
        <v>119</v>
      </c>
      <c r="G10" t="s">
        <v>137</v>
      </c>
      <c r="I10" t="str" cm="1">
        <f t="array" ref="I10:P13">[1]!TRANSRANGE(Datas_sheet!B7:E14)</f>
        <v>B7</v>
      </c>
      <c r="J10" t="str">
        <v>B8</v>
      </c>
      <c r="K10" t="str">
        <v>B9</v>
      </c>
      <c r="L10" t="str">
        <v>B10</v>
      </c>
      <c r="M10" t="str">
        <v>B11</v>
      </c>
      <c r="N10" t="str">
        <v>B12</v>
      </c>
      <c r="O10" t="str">
        <v>B13</v>
      </c>
      <c r="P10" t="str">
        <v>B14</v>
      </c>
    </row>
    <row r="11" spans="1:16" x14ac:dyDescent="0.25">
      <c r="A11" t="s">
        <v>23</v>
      </c>
      <c r="B11" t="s">
        <v>41</v>
      </c>
      <c r="C11" t="s">
        <v>59</v>
      </c>
      <c r="D11" t="s">
        <v>77</v>
      </c>
      <c r="E11" t="s">
        <v>102</v>
      </c>
      <c r="F11" t="s">
        <v>120</v>
      </c>
      <c r="G11" t="s">
        <v>138</v>
      </c>
      <c r="I11" t="str">
        <v>C7</v>
      </c>
      <c r="J11" t="str">
        <v>C8</v>
      </c>
      <c r="K11" t="str">
        <v>C9</v>
      </c>
      <c r="L11" t="str">
        <v>C10</v>
      </c>
      <c r="M11" t="str">
        <v>C11</v>
      </c>
      <c r="N11" t="str">
        <v>C12</v>
      </c>
      <c r="O11" t="str">
        <v>C13</v>
      </c>
      <c r="P11" t="str">
        <v>C14</v>
      </c>
    </row>
    <row r="12" spans="1:16" x14ac:dyDescent="0.25">
      <c r="A12" t="s">
        <v>24</v>
      </c>
      <c r="B12" t="s">
        <v>42</v>
      </c>
      <c r="C12" t="s">
        <v>60</v>
      </c>
      <c r="D12" t="s">
        <v>78</v>
      </c>
      <c r="E12" t="s">
        <v>103</v>
      </c>
      <c r="F12" t="s">
        <v>121</v>
      </c>
      <c r="G12" t="s">
        <v>139</v>
      </c>
      <c r="I12" t="str">
        <v>D7</v>
      </c>
      <c r="J12" t="str">
        <v>D8</v>
      </c>
      <c r="K12" t="str">
        <v>D9</v>
      </c>
      <c r="L12" t="str">
        <v>D10</v>
      </c>
      <c r="M12" t="str">
        <v>D11</v>
      </c>
      <c r="N12" t="str">
        <v>D12</v>
      </c>
      <c r="O12" t="str">
        <v>D13</v>
      </c>
      <c r="P12" t="str">
        <v>D14</v>
      </c>
    </row>
    <row r="13" spans="1:16" x14ac:dyDescent="0.25">
      <c r="A13" t="s">
        <v>25</v>
      </c>
      <c r="B13" t="s">
        <v>43</v>
      </c>
      <c r="C13" t="s">
        <v>61</v>
      </c>
      <c r="D13" t="s">
        <v>79</v>
      </c>
      <c r="E13" t="s">
        <v>104</v>
      </c>
      <c r="F13" t="s">
        <v>122</v>
      </c>
      <c r="G13" t="s">
        <v>140</v>
      </c>
      <c r="I13" t="str">
        <v>E7</v>
      </c>
      <c r="J13" t="str">
        <v>E8</v>
      </c>
      <c r="K13" t="str">
        <v>E9</v>
      </c>
      <c r="L13" t="str">
        <v>E10</v>
      </c>
      <c r="M13" t="str">
        <v>E11</v>
      </c>
      <c r="N13" t="str">
        <v>E12</v>
      </c>
      <c r="O13" t="str">
        <v>E13</v>
      </c>
      <c r="P13" t="str">
        <v>E14</v>
      </c>
    </row>
    <row r="14" spans="1:16" x14ac:dyDescent="0.25">
      <c r="A14" t="s">
        <v>26</v>
      </c>
      <c r="B14" t="s">
        <v>44</v>
      </c>
      <c r="C14" t="s">
        <v>62</v>
      </c>
      <c r="D14" t="s">
        <v>80</v>
      </c>
      <c r="E14" t="s">
        <v>105</v>
      </c>
      <c r="F14" t="s">
        <v>123</v>
      </c>
      <c r="G14" t="s">
        <v>141</v>
      </c>
    </row>
    <row r="15" spans="1:16" ht="21" x14ac:dyDescent="0.35">
      <c r="A15" t="s">
        <v>27</v>
      </c>
      <c r="B15" t="s">
        <v>45</v>
      </c>
      <c r="C15" t="s">
        <v>63</v>
      </c>
      <c r="D15" t="s">
        <v>81</v>
      </c>
      <c r="E15" t="s">
        <v>106</v>
      </c>
      <c r="F15" t="s">
        <v>124</v>
      </c>
      <c r="G15" t="s">
        <v>142</v>
      </c>
      <c r="I15" s="31" t="s">
        <v>168</v>
      </c>
    </row>
    <row r="16" spans="1:16" x14ac:dyDescent="0.25">
      <c r="A16" t="s">
        <v>28</v>
      </c>
      <c r="B16" t="s">
        <v>46</v>
      </c>
      <c r="C16" t="s">
        <v>64</v>
      </c>
      <c r="D16" t="s">
        <v>82</v>
      </c>
      <c r="E16" t="s">
        <v>107</v>
      </c>
      <c r="F16" t="s">
        <v>125</v>
      </c>
      <c r="G16" t="s">
        <v>143</v>
      </c>
      <c r="I16" t="str" cm="1">
        <f t="array" ref="I16:P19">TRANSRANGE([2]Feuil1!$B$7:$E$14)</f>
        <v>B7</v>
      </c>
      <c r="J16" t="str">
        <v>B8</v>
      </c>
      <c r="K16" t="str">
        <v>B9</v>
      </c>
      <c r="L16" t="str">
        <v>B10</v>
      </c>
      <c r="M16" t="str">
        <v>B11</v>
      </c>
      <c r="N16" t="str">
        <v>B12</v>
      </c>
      <c r="O16" t="str">
        <v>B13</v>
      </c>
      <c r="P16" t="str">
        <v>B14</v>
      </c>
    </row>
    <row r="17" spans="1:16" x14ac:dyDescent="0.25">
      <c r="A17" t="s">
        <v>29</v>
      </c>
      <c r="B17" t="s">
        <v>47</v>
      </c>
      <c r="C17" t="s">
        <v>65</v>
      </c>
      <c r="D17" t="s">
        <v>83</v>
      </c>
      <c r="E17" t="s">
        <v>108</v>
      </c>
      <c r="F17" t="s">
        <v>126</v>
      </c>
      <c r="G17" t="s">
        <v>144</v>
      </c>
      <c r="I17" t="str">
        <v>C7</v>
      </c>
      <c r="J17" t="str">
        <v>C8</v>
      </c>
      <c r="K17" t="str">
        <v>C9</v>
      </c>
      <c r="L17" t="str">
        <v>C10</v>
      </c>
      <c r="M17" t="str">
        <v>C11</v>
      </c>
      <c r="N17" t="str">
        <v>C12</v>
      </c>
      <c r="O17" t="str">
        <v>C13</v>
      </c>
      <c r="P17" t="str">
        <v>C14</v>
      </c>
    </row>
    <row r="18" spans="1:16" x14ac:dyDescent="0.25">
      <c r="A18" t="s">
        <v>30</v>
      </c>
      <c r="B18" t="s">
        <v>48</v>
      </c>
      <c r="C18" t="s">
        <v>66</v>
      </c>
      <c r="D18" t="s">
        <v>84</v>
      </c>
      <c r="E18" t="s">
        <v>109</v>
      </c>
      <c r="F18" t="s">
        <v>127</v>
      </c>
      <c r="G18" t="s">
        <v>145</v>
      </c>
      <c r="I18" t="str">
        <v>D7</v>
      </c>
      <c r="J18" t="str">
        <v>D8</v>
      </c>
      <c r="K18" t="str">
        <v>D9</v>
      </c>
      <c r="L18" t="str">
        <v>D10</v>
      </c>
      <c r="M18" t="str">
        <v>D11</v>
      </c>
      <c r="N18" t="str">
        <v>D12</v>
      </c>
      <c r="O18" t="str">
        <v>D13</v>
      </c>
      <c r="P18" t="str">
        <v>D14</v>
      </c>
    </row>
    <row r="19" spans="1:16" x14ac:dyDescent="0.25">
      <c r="A19" t="s">
        <v>31</v>
      </c>
      <c r="B19" t="s">
        <v>49</v>
      </c>
      <c r="C19" t="s">
        <v>67</v>
      </c>
      <c r="D19" t="s">
        <v>85</v>
      </c>
      <c r="E19" t="s">
        <v>110</v>
      </c>
      <c r="F19" t="s">
        <v>128</v>
      </c>
      <c r="G19" t="s">
        <v>146</v>
      </c>
      <c r="I19" t="str">
        <v>E7</v>
      </c>
      <c r="J19" t="str">
        <v>E8</v>
      </c>
      <c r="K19" t="str">
        <v>E9</v>
      </c>
      <c r="L19" t="str">
        <v>E10</v>
      </c>
      <c r="M19" t="str">
        <v>E11</v>
      </c>
      <c r="N19" t="str">
        <v>E12</v>
      </c>
      <c r="O19" t="str">
        <v>E13</v>
      </c>
      <c r="P19" t="str">
        <v>E14</v>
      </c>
    </row>
    <row r="20" spans="1:16" x14ac:dyDescent="0.25">
      <c r="A20" t="s">
        <v>32</v>
      </c>
      <c r="B20" t="s">
        <v>50</v>
      </c>
      <c r="C20" t="s">
        <v>68</v>
      </c>
      <c r="D20" t="s">
        <v>86</v>
      </c>
      <c r="E20" t="s">
        <v>111</v>
      </c>
      <c r="F20" t="s">
        <v>129</v>
      </c>
      <c r="G20" t="s">
        <v>147</v>
      </c>
    </row>
    <row r="21" spans="1:16" x14ac:dyDescent="0.25">
      <c r="A21" t="s">
        <v>148</v>
      </c>
      <c r="B21" t="s">
        <v>149</v>
      </c>
      <c r="C21" t="s">
        <v>150</v>
      </c>
      <c r="D21" t="s">
        <v>151</v>
      </c>
      <c r="E21" t="s">
        <v>152</v>
      </c>
      <c r="F21" t="s">
        <v>153</v>
      </c>
      <c r="G21" t="s">
        <v>154</v>
      </c>
    </row>
    <row r="22" spans="1:16" ht="21" x14ac:dyDescent="0.35">
      <c r="A22" t="s">
        <v>155</v>
      </c>
      <c r="B22" t="s">
        <v>156</v>
      </c>
      <c r="C22" t="s">
        <v>157</v>
      </c>
      <c r="D22" t="s">
        <v>158</v>
      </c>
      <c r="E22" t="s">
        <v>159</v>
      </c>
      <c r="F22" t="s">
        <v>160</v>
      </c>
      <c r="G22" t="s">
        <v>161</v>
      </c>
      <c r="I22" s="31" t="s">
        <v>170</v>
      </c>
    </row>
    <row r="23" spans="1:16" ht="18.75" x14ac:dyDescent="0.3">
      <c r="I23" s="32" t="s">
        <v>173</v>
      </c>
    </row>
    <row r="24" spans="1:16" x14ac:dyDescent="0.25">
      <c r="I24" t="str" cm="1">
        <f t="array" ref="I24:K26">[1]!TRANSRANGE(TabloXLAM[],18,,4,6)</f>
        <v>D20</v>
      </c>
      <c r="J24" t="str">
        <v>D21</v>
      </c>
      <c r="K24" t="str">
        <v>D22</v>
      </c>
    </row>
    <row r="25" spans="1:16" x14ac:dyDescent="0.25">
      <c r="I25" t="str">
        <v>E20</v>
      </c>
      <c r="J25" t="str">
        <v>E21</v>
      </c>
      <c r="K25" t="str">
        <v>E22</v>
      </c>
    </row>
    <row r="26" spans="1:16" x14ac:dyDescent="0.25">
      <c r="I26" t="str">
        <v>F20</v>
      </c>
      <c r="J26" t="str">
        <v>F21</v>
      </c>
      <c r="K26" t="str">
        <v>F22</v>
      </c>
    </row>
    <row r="29" spans="1:16" ht="21" x14ac:dyDescent="0.35">
      <c r="I29" s="31" t="s">
        <v>166</v>
      </c>
    </row>
    <row r="30" spans="1:16" x14ac:dyDescent="0.25">
      <c r="I30" t="str" cm="1">
        <f t="array" ref="I30:L35">[1]!TRANS2D([1]!TRANSRNG(TabloXLAM[],10,15,3,6))</f>
        <v>C12</v>
      </c>
      <c r="J30" t="str">
        <v>D12</v>
      </c>
      <c r="K30" t="str">
        <v>E12</v>
      </c>
      <c r="L30" t="str">
        <v>F12</v>
      </c>
    </row>
    <row r="31" spans="1:16" x14ac:dyDescent="0.25">
      <c r="I31" t="str">
        <v>C13</v>
      </c>
      <c r="J31" t="str">
        <v>D13</v>
      </c>
      <c r="K31" t="str">
        <v>E13</v>
      </c>
      <c r="L31" t="str">
        <v>F13</v>
      </c>
    </row>
    <row r="32" spans="1:16" x14ac:dyDescent="0.25">
      <c r="I32" t="str">
        <v>C14</v>
      </c>
      <c r="J32" t="str">
        <v>D14</v>
      </c>
      <c r="K32" t="str">
        <v>E14</v>
      </c>
      <c r="L32" t="str">
        <v>F14</v>
      </c>
    </row>
    <row r="33" spans="9:12" x14ac:dyDescent="0.25">
      <c r="I33" t="str">
        <v>C15</v>
      </c>
      <c r="J33" t="str">
        <v>D15</v>
      </c>
      <c r="K33" t="str">
        <v>E15</v>
      </c>
      <c r="L33" t="str">
        <v>F15</v>
      </c>
    </row>
    <row r="34" spans="9:12" x14ac:dyDescent="0.25">
      <c r="I34" t="str">
        <v>C16</v>
      </c>
      <c r="J34" t="str">
        <v>D16</v>
      </c>
      <c r="K34" t="str">
        <v>E16</v>
      </c>
      <c r="L34" t="str">
        <v>F16</v>
      </c>
    </row>
    <row r="35" spans="9:12" x14ac:dyDescent="0.25">
      <c r="I35" t="str">
        <v>C17</v>
      </c>
      <c r="J35" t="str">
        <v>D17</v>
      </c>
      <c r="K35" t="str">
        <v>E17</v>
      </c>
      <c r="L35" t="str">
        <v>F17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7C8E0-642F-4BEA-BF2C-E5E4CFED4C66}">
  <sheetPr codeName="Feuil1"/>
  <dimension ref="A2:G22"/>
  <sheetViews>
    <sheetView workbookViewId="0">
      <selection activeCell="C25" sqref="C25"/>
    </sheetView>
  </sheetViews>
  <sheetFormatPr baseColWidth="10" defaultRowHeight="15.75" x14ac:dyDescent="0.25"/>
  <sheetData>
    <row r="2" spans="1:7" x14ac:dyDescent="0.25">
      <c r="A2" t="s">
        <v>87</v>
      </c>
      <c r="B2" t="s">
        <v>88</v>
      </c>
      <c r="C2" t="s">
        <v>89</v>
      </c>
      <c r="D2" t="s">
        <v>90</v>
      </c>
      <c r="E2" t="s">
        <v>91</v>
      </c>
      <c r="F2" t="s">
        <v>92</v>
      </c>
      <c r="G2" t="s">
        <v>93</v>
      </c>
    </row>
    <row r="3" spans="1:7" x14ac:dyDescent="0.25">
      <c r="A3" t="s">
        <v>15</v>
      </c>
      <c r="B3" t="s">
        <v>33</v>
      </c>
      <c r="C3" t="s">
        <v>51</v>
      </c>
      <c r="D3" t="s">
        <v>69</v>
      </c>
      <c r="E3" t="s">
        <v>94</v>
      </c>
      <c r="F3" t="s">
        <v>112</v>
      </c>
      <c r="G3" t="s">
        <v>130</v>
      </c>
    </row>
    <row r="4" spans="1:7" x14ac:dyDescent="0.25">
      <c r="A4" t="s">
        <v>16</v>
      </c>
      <c r="B4" t="s">
        <v>34</v>
      </c>
      <c r="C4" t="s">
        <v>52</v>
      </c>
      <c r="D4" t="s">
        <v>70</v>
      </c>
      <c r="E4" t="s">
        <v>95</v>
      </c>
      <c r="F4" t="s">
        <v>113</v>
      </c>
      <c r="G4" t="s">
        <v>131</v>
      </c>
    </row>
    <row r="5" spans="1:7" x14ac:dyDescent="0.25">
      <c r="A5" t="s">
        <v>17</v>
      </c>
      <c r="B5" t="s">
        <v>35</v>
      </c>
      <c r="C5" t="s">
        <v>53</v>
      </c>
      <c r="D5" t="s">
        <v>71</v>
      </c>
      <c r="E5" t="s">
        <v>96</v>
      </c>
      <c r="F5" t="s">
        <v>114</v>
      </c>
      <c r="G5" t="s">
        <v>132</v>
      </c>
    </row>
    <row r="6" spans="1:7" x14ac:dyDescent="0.25">
      <c r="A6" t="s">
        <v>18</v>
      </c>
      <c r="B6" t="s">
        <v>36</v>
      </c>
      <c r="C6" t="s">
        <v>54</v>
      </c>
      <c r="D6" t="s">
        <v>72</v>
      </c>
      <c r="E6" t="s">
        <v>97</v>
      </c>
      <c r="F6" t="s">
        <v>115</v>
      </c>
      <c r="G6" t="s">
        <v>133</v>
      </c>
    </row>
    <row r="7" spans="1:7" x14ac:dyDescent="0.25">
      <c r="A7" t="s">
        <v>19</v>
      </c>
      <c r="B7" t="s">
        <v>37</v>
      </c>
      <c r="C7" t="s">
        <v>55</v>
      </c>
      <c r="D7" t="s">
        <v>73</v>
      </c>
      <c r="E7" t="s">
        <v>98</v>
      </c>
      <c r="F7" t="s">
        <v>116</v>
      </c>
      <c r="G7" t="s">
        <v>134</v>
      </c>
    </row>
    <row r="8" spans="1:7" x14ac:dyDescent="0.25">
      <c r="A8" t="s">
        <v>20</v>
      </c>
      <c r="B8" t="s">
        <v>38</v>
      </c>
      <c r="C8" t="s">
        <v>56</v>
      </c>
      <c r="D8" t="s">
        <v>74</v>
      </c>
      <c r="E8" t="s">
        <v>99</v>
      </c>
      <c r="F8" t="s">
        <v>117</v>
      </c>
      <c r="G8" t="s">
        <v>135</v>
      </c>
    </row>
    <row r="9" spans="1:7" x14ac:dyDescent="0.25">
      <c r="A9" t="s">
        <v>21</v>
      </c>
      <c r="B9" t="s">
        <v>39</v>
      </c>
      <c r="C9" t="s">
        <v>57</v>
      </c>
      <c r="D9" t="s">
        <v>75</v>
      </c>
      <c r="E9" t="s">
        <v>100</v>
      </c>
      <c r="F9" t="s">
        <v>118</v>
      </c>
      <c r="G9" t="s">
        <v>136</v>
      </c>
    </row>
    <row r="10" spans="1:7" x14ac:dyDescent="0.25">
      <c r="A10" t="s">
        <v>22</v>
      </c>
      <c r="B10" t="s">
        <v>40</v>
      </c>
      <c r="C10" t="s">
        <v>58</v>
      </c>
      <c r="D10" t="s">
        <v>76</v>
      </c>
      <c r="E10" t="s">
        <v>101</v>
      </c>
      <c r="F10" t="s">
        <v>119</v>
      </c>
      <c r="G10" t="s">
        <v>137</v>
      </c>
    </row>
    <row r="11" spans="1:7" x14ac:dyDescent="0.25">
      <c r="A11" t="s">
        <v>23</v>
      </c>
      <c r="B11" t="s">
        <v>41</v>
      </c>
      <c r="C11" t="s">
        <v>59</v>
      </c>
      <c r="D11" t="s">
        <v>77</v>
      </c>
      <c r="E11" t="s">
        <v>102</v>
      </c>
      <c r="F11" t="s">
        <v>120</v>
      </c>
      <c r="G11" t="s">
        <v>138</v>
      </c>
    </row>
    <row r="12" spans="1:7" x14ac:dyDescent="0.25">
      <c r="A12" t="s">
        <v>24</v>
      </c>
      <c r="B12" t="s">
        <v>42</v>
      </c>
      <c r="C12" t="s">
        <v>60</v>
      </c>
      <c r="D12" t="s">
        <v>78</v>
      </c>
      <c r="E12" t="s">
        <v>103</v>
      </c>
      <c r="F12" t="s">
        <v>121</v>
      </c>
      <c r="G12" t="s">
        <v>139</v>
      </c>
    </row>
    <row r="13" spans="1:7" x14ac:dyDescent="0.25">
      <c r="A13" t="s">
        <v>25</v>
      </c>
      <c r="B13" t="s">
        <v>43</v>
      </c>
      <c r="C13" t="s">
        <v>61</v>
      </c>
      <c r="D13" t="s">
        <v>79</v>
      </c>
      <c r="E13" t="s">
        <v>104</v>
      </c>
      <c r="F13" t="s">
        <v>122</v>
      </c>
      <c r="G13" t="s">
        <v>140</v>
      </c>
    </row>
    <row r="14" spans="1:7" x14ac:dyDescent="0.25">
      <c r="A14" t="s">
        <v>26</v>
      </c>
      <c r="B14" t="s">
        <v>44</v>
      </c>
      <c r="C14" t="s">
        <v>62</v>
      </c>
      <c r="D14" t="s">
        <v>80</v>
      </c>
      <c r="E14" t="s">
        <v>105</v>
      </c>
      <c r="F14" t="s">
        <v>123</v>
      </c>
      <c r="G14" t="s">
        <v>141</v>
      </c>
    </row>
    <row r="15" spans="1:7" x14ac:dyDescent="0.25">
      <c r="A15" t="s">
        <v>27</v>
      </c>
      <c r="B15" t="s">
        <v>45</v>
      </c>
      <c r="C15" t="s">
        <v>63</v>
      </c>
      <c r="D15" t="s">
        <v>81</v>
      </c>
      <c r="E15" t="s">
        <v>106</v>
      </c>
      <c r="F15" t="s">
        <v>124</v>
      </c>
      <c r="G15" t="s">
        <v>142</v>
      </c>
    </row>
    <row r="16" spans="1:7" x14ac:dyDescent="0.25">
      <c r="A16" t="s">
        <v>28</v>
      </c>
      <c r="B16" t="s">
        <v>46</v>
      </c>
      <c r="C16" t="s">
        <v>64</v>
      </c>
      <c r="D16" t="s">
        <v>82</v>
      </c>
      <c r="E16" t="s">
        <v>107</v>
      </c>
      <c r="F16" t="s">
        <v>125</v>
      </c>
      <c r="G16" t="s">
        <v>143</v>
      </c>
    </row>
    <row r="17" spans="1:7" x14ac:dyDescent="0.25">
      <c r="A17" t="s">
        <v>29</v>
      </c>
      <c r="B17" t="s">
        <v>47</v>
      </c>
      <c r="C17" t="s">
        <v>65</v>
      </c>
      <c r="D17" t="s">
        <v>83</v>
      </c>
      <c r="E17" t="s">
        <v>108</v>
      </c>
      <c r="F17" t="s">
        <v>126</v>
      </c>
      <c r="G17" t="s">
        <v>144</v>
      </c>
    </row>
    <row r="18" spans="1:7" x14ac:dyDescent="0.25">
      <c r="A18" t="s">
        <v>30</v>
      </c>
      <c r="B18" t="s">
        <v>48</v>
      </c>
      <c r="C18" t="s">
        <v>66</v>
      </c>
      <c r="D18" t="s">
        <v>84</v>
      </c>
      <c r="E18" t="s">
        <v>109</v>
      </c>
      <c r="F18" t="s">
        <v>127</v>
      </c>
      <c r="G18" t="s">
        <v>145</v>
      </c>
    </row>
    <row r="19" spans="1:7" x14ac:dyDescent="0.25">
      <c r="A19" t="s">
        <v>31</v>
      </c>
      <c r="B19" t="s">
        <v>49</v>
      </c>
      <c r="C19" t="s">
        <v>67</v>
      </c>
      <c r="D19" t="s">
        <v>85</v>
      </c>
      <c r="E19" t="s">
        <v>110</v>
      </c>
      <c r="F19" t="s">
        <v>128</v>
      </c>
      <c r="G19" t="s">
        <v>146</v>
      </c>
    </row>
    <row r="20" spans="1:7" x14ac:dyDescent="0.25">
      <c r="A20" t="s">
        <v>32</v>
      </c>
      <c r="B20" t="s">
        <v>50</v>
      </c>
      <c r="C20" t="s">
        <v>68</v>
      </c>
      <c r="D20" t="s">
        <v>86</v>
      </c>
      <c r="E20" t="s">
        <v>111</v>
      </c>
      <c r="F20" t="s">
        <v>129</v>
      </c>
      <c r="G20" t="s">
        <v>147</v>
      </c>
    </row>
    <row r="21" spans="1:7" x14ac:dyDescent="0.25">
      <c r="A21" t="s">
        <v>148</v>
      </c>
      <c r="B21" t="s">
        <v>149</v>
      </c>
      <c r="C21" t="s">
        <v>150</v>
      </c>
      <c r="D21" t="s">
        <v>151</v>
      </c>
      <c r="E21" t="s">
        <v>152</v>
      </c>
      <c r="F21" t="s">
        <v>153</v>
      </c>
      <c r="G21" t="s">
        <v>154</v>
      </c>
    </row>
    <row r="22" spans="1:7" x14ac:dyDescent="0.25">
      <c r="A22" t="s">
        <v>155</v>
      </c>
      <c r="B22" t="s">
        <v>156</v>
      </c>
      <c r="C22" t="s">
        <v>157</v>
      </c>
      <c r="D22" t="s">
        <v>158</v>
      </c>
      <c r="E22" t="s">
        <v>159</v>
      </c>
      <c r="F22" t="s">
        <v>160</v>
      </c>
      <c r="G22" t="s">
        <v>161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DEMO</vt:lpstr>
      <vt:lpstr>RANGE XLAM</vt:lpstr>
      <vt:lpstr>Datas_sheet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7Al</dc:creator>
  <cp:lastModifiedBy>7Al</cp:lastModifiedBy>
  <dcterms:created xsi:type="dcterms:W3CDTF">2025-01-03T16:08:27Z</dcterms:created>
  <dcterms:modified xsi:type="dcterms:W3CDTF">2025-02-06T17:42:49Z</dcterms:modified>
</cp:coreProperties>
</file>